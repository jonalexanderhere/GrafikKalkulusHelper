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xa\Downloads\DDP\output_soal\"/>
    </mc:Choice>
  </mc:AlternateContent>
  <xr:revisionPtr revIDLastSave="0" documentId="13_ncr:1_{A1E9F599-A6CA-4101-A260-4087D35B6B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gas Praktikum 4" sheetId="1" r:id="rId1"/>
    <sheet name="Tabel Bant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I16" i="1"/>
  <c r="H16" i="1"/>
  <c r="G16" i="1"/>
  <c r="F16" i="1"/>
  <c r="E16" i="1"/>
  <c r="D16" i="1"/>
  <c r="H15" i="1"/>
  <c r="K15" i="1" s="1"/>
  <c r="L15" i="1" s="1"/>
  <c r="G15" i="1"/>
  <c r="I15" i="1" s="1"/>
  <c r="J15" i="1" s="1"/>
  <c r="F15" i="1"/>
  <c r="E15" i="1"/>
  <c r="D15" i="1"/>
  <c r="D19" i="1" s="1"/>
  <c r="I14" i="1"/>
  <c r="H14" i="1"/>
  <c r="J14" i="1" s="1"/>
  <c r="K14" i="1" s="1"/>
  <c r="L14" i="1" s="1"/>
  <c r="G14" i="1"/>
  <c r="F14" i="1"/>
  <c r="E14" i="1"/>
  <c r="D14" i="1"/>
  <c r="H13" i="1"/>
  <c r="G13" i="1"/>
  <c r="I13" i="1" s="1"/>
  <c r="J13" i="1" s="1"/>
  <c r="F13" i="1"/>
  <c r="E13" i="1"/>
  <c r="D13" i="1"/>
  <c r="H12" i="1"/>
  <c r="G12" i="1"/>
  <c r="I12" i="1" s="1"/>
  <c r="F12" i="1"/>
  <c r="E12" i="1"/>
  <c r="D12" i="1"/>
  <c r="H11" i="1"/>
  <c r="G11" i="1"/>
  <c r="I11" i="1" s="1"/>
  <c r="F11" i="1"/>
  <c r="E11" i="1"/>
  <c r="D11" i="1"/>
  <c r="H10" i="1"/>
  <c r="G10" i="1"/>
  <c r="I10" i="1" s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J7" i="1"/>
  <c r="K7" i="1" s="1"/>
  <c r="L7" i="1" s="1"/>
  <c r="I7" i="1"/>
  <c r="H7" i="1"/>
  <c r="G7" i="1"/>
  <c r="F7" i="1"/>
  <c r="E7" i="1"/>
  <c r="D7" i="1"/>
  <c r="I6" i="1"/>
  <c r="J6" i="1" s="1"/>
  <c r="K6" i="1" s="1"/>
  <c r="L6" i="1" s="1"/>
  <c r="H6" i="1"/>
  <c r="G6" i="1"/>
  <c r="F6" i="1"/>
  <c r="E6" i="1"/>
  <c r="D6" i="1"/>
  <c r="H5" i="1"/>
  <c r="G5" i="1"/>
  <c r="I5" i="1" s="1"/>
  <c r="F5" i="1"/>
  <c r="E5" i="1"/>
  <c r="D5" i="1"/>
  <c r="K9" i="1" l="1"/>
  <c r="L9" i="1" s="1"/>
  <c r="K8" i="1"/>
  <c r="L8" i="1" s="1"/>
  <c r="K13" i="1"/>
  <c r="L13" i="1" s="1"/>
  <c r="K16" i="1"/>
  <c r="L16" i="1" s="1"/>
  <c r="K10" i="1"/>
  <c r="L10" i="1" s="1"/>
  <c r="K5" i="1"/>
  <c r="I18" i="1"/>
  <c r="J5" i="1"/>
  <c r="J8" i="1"/>
  <c r="J9" i="1"/>
  <c r="J10" i="1"/>
  <c r="J11" i="1"/>
  <c r="K11" i="1" s="1"/>
  <c r="L11" i="1" s="1"/>
  <c r="J12" i="1"/>
  <c r="K12" i="1" s="1"/>
  <c r="L12" i="1" s="1"/>
  <c r="H17" i="1"/>
  <c r="D18" i="1"/>
  <c r="J16" i="1"/>
  <c r="K20" i="1" l="1"/>
  <c r="L5" i="1"/>
  <c r="J19" i="1"/>
</calcChain>
</file>

<file path=xl/sharedStrings.xml><?xml version="1.0" encoding="utf-8"?>
<sst xmlns="http://schemas.openxmlformats.org/spreadsheetml/2006/main" count="64" uniqueCount="64">
  <si>
    <t>Jl. Gurabesi Aspol Klofkamp Distrik Jayapura Selatan, Kota Jayapura, Papua 99221, Hp. 0811-4891-009</t>
  </si>
  <si>
    <t>No</t>
  </si>
  <si>
    <t>Nomor Pendaftaran</t>
  </si>
  <si>
    <t>Nama Peserta Didik</t>
  </si>
  <si>
    <t>Jenis Kursus</t>
  </si>
  <si>
    <t>Cara Bayar</t>
  </si>
  <si>
    <t>Kelas</t>
  </si>
  <si>
    <t>Status</t>
  </si>
  <si>
    <t>Jumlah Pertemuan</t>
  </si>
  <si>
    <t>Biaya</t>
  </si>
  <si>
    <t>Diskon</t>
  </si>
  <si>
    <t>Total Bayar</t>
  </si>
  <si>
    <t>Bonus</t>
  </si>
  <si>
    <t>RM/010/PR-C</t>
  </si>
  <si>
    <t>ZAKI</t>
  </si>
  <si>
    <t>EK/009/OF-C</t>
  </si>
  <si>
    <t>NOVITA</t>
  </si>
  <si>
    <t>EP/012/DG-T</t>
  </si>
  <si>
    <t>MELANDA</t>
  </si>
  <si>
    <t>RM/011/OF-C</t>
  </si>
  <si>
    <t>ABEDNEGO</t>
  </si>
  <si>
    <t>RK/015/DG-T</t>
  </si>
  <si>
    <t>NAUFAL</t>
  </si>
  <si>
    <t>EP/008/PR-T</t>
  </si>
  <si>
    <t>PURNOMO</t>
  </si>
  <si>
    <t>EP/010/PR-C</t>
  </si>
  <si>
    <t>NURMAHMUDHAH</t>
  </si>
  <si>
    <t>RP/011/PR-C</t>
  </si>
  <si>
    <t>QOLBI</t>
  </si>
  <si>
    <t>RK/007/DG-T</t>
  </si>
  <si>
    <t>MAHARANI</t>
  </si>
  <si>
    <t>EM/011/OF-T</t>
  </si>
  <si>
    <t>ESKIYATURROFIKOH</t>
  </si>
  <si>
    <t>EP/015/OF-C</t>
  </si>
  <si>
    <t>SHAFIYAH</t>
  </si>
  <si>
    <t>EK/015/DG-T</t>
  </si>
  <si>
    <t>PATRICK</t>
  </si>
  <si>
    <t>JUMLAH DATA PROGRAMMING</t>
  </si>
  <si>
    <t>Nilai Tertinggi</t>
  </si>
  <si>
    <t>JUMLAH DATA DESAIN GRAFIS</t>
  </si>
  <si>
    <t>Total Seluruh</t>
  </si>
  <si>
    <t>JUMLAH DATA MICROSOFT OFFICE</t>
  </si>
  <si>
    <t>Nilai Rata-Rata</t>
  </si>
  <si>
    <t>Nilai Terendah</t>
  </si>
  <si>
    <t>Tugas Praktikum 4 - Karya Gata Computer - TABEL BANTU</t>
  </si>
  <si>
    <t>Kode Kelas</t>
  </si>
  <si>
    <t>R</t>
  </si>
  <si>
    <t>E</t>
  </si>
  <si>
    <t>Nama Kelas</t>
  </si>
  <si>
    <t>Reguler</t>
  </si>
  <si>
    <t>Ekstensi</t>
  </si>
  <si>
    <t>TABEL BANTU 2</t>
  </si>
  <si>
    <t>KODE</t>
  </si>
  <si>
    <t>JENIS</t>
  </si>
  <si>
    <t>Mahasiswa</t>
  </si>
  <si>
    <t>Karyawan</t>
  </si>
  <si>
    <t>Profesional</t>
  </si>
  <si>
    <t>PR</t>
  </si>
  <si>
    <t>PROGRAMMING</t>
  </si>
  <si>
    <t>DG</t>
  </si>
  <si>
    <t>DESAIN GRAFIS</t>
  </si>
  <si>
    <t>OF</t>
  </si>
  <si>
    <t>OFFICE</t>
  </si>
  <si>
    <t>Karya Gata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</si>
</sst>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 &quot;#,##0"/>
  </numFmts>
  <fonts count="9" x14ac:knownFonts="1">
    <font>
      <sz val="11"/>
      <color theme="1"/>
      <name val="Calibri"/>
      <family val="2"/>
      <scheme val="minor"/>
    </font>
    <font>
      <b/>
      <sz val="14"/>
      <color rgb="FF1F497D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1F497D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7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0" fontId="3" fillId="2" borderId="1" xfId="0" applyFont="1" applyFill="1" applyBorder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3" xfId="0" applyFont="1" applyBorder="1"/>
    <xf numFmtId="164" fontId="4" fillId="0" borderId="3" xfId="0" applyNumberFormat="1" applyFont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5" borderId="1" xfId="3" applyBorder="1" applyAlignment="1">
      <alignment horizontal="center" vertical="center" wrapText="1"/>
    </xf>
    <xf numFmtId="0" fontId="6" fillId="4" borderId="1" xfId="2" applyBorder="1" applyAlignment="1">
      <alignment horizontal="left" vertical="center"/>
    </xf>
    <xf numFmtId="0" fontId="6" fillId="4" borderId="1" xfId="2" applyBorder="1" applyAlignment="1">
      <alignment horizontal="left"/>
    </xf>
    <xf numFmtId="0" fontId="6" fillId="4" borderId="1" xfId="2" applyBorder="1" applyAlignment="1">
      <alignment horizontal="right" vertical="center"/>
    </xf>
    <xf numFmtId="0" fontId="7" fillId="3" borderId="2" xfId="1" applyBorder="1" applyAlignment="1">
      <alignment horizontal="right" vertical="center"/>
    </xf>
    <xf numFmtId="164" fontId="7" fillId="3" borderId="2" xfId="1" applyNumberFormat="1" applyBorder="1" applyAlignment="1">
      <alignment horizontal="right" vertical="center"/>
    </xf>
  </cellXfs>
  <cellStyles count="4">
    <cellStyle name="60% - Accent1" xfId="2" builtinId="32"/>
    <cellStyle name="Accent1" xfId="1" builtinId="29"/>
    <cellStyle name="Accent6" xfId="3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L20" sqref="L20"/>
    </sheetView>
  </sheetViews>
  <sheetFormatPr defaultRowHeight="14.5" x14ac:dyDescent="0.35"/>
  <cols>
    <col min="1" max="1" width="10.08984375" customWidth="1"/>
    <col min="2" max="2" width="30.1796875" customWidth="1"/>
    <col min="3" max="3" width="21" customWidth="1"/>
    <col min="4" max="4" width="15" customWidth="1"/>
    <col min="5" max="5" width="18" customWidth="1"/>
    <col min="6" max="7" width="10" customWidth="1"/>
    <col min="8" max="8" width="19" customWidth="1"/>
    <col min="9" max="11" width="18" customWidth="1"/>
    <col min="12" max="12" width="14.7265625" customWidth="1"/>
  </cols>
  <sheetData>
    <row r="1" spans="1:12" ht="19.5" x14ac:dyDescent="0.45">
      <c r="A1" s="9" t="s">
        <v>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35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</row>
    <row r="5" spans="1:12" x14ac:dyDescent="0.35">
      <c r="A5" s="2">
        <v>1</v>
      </c>
      <c r="B5" s="3" t="s">
        <v>13</v>
      </c>
      <c r="C5" s="3" t="s">
        <v>14</v>
      </c>
      <c r="D5" s="3" t="str">
        <f>VLOOKUP(MID(B5,8,2),'Tabel Bantu'!$A$9:$E$12,2,FALSE)</f>
        <v>PROGRAMMING</v>
      </c>
      <c r="E5" s="3" t="str">
        <f t="shared" ref="E5:E16" si="0">IF(RIGHT(B5,1)="C","Tunai","Transfer")</f>
        <v>Tunai</v>
      </c>
      <c r="F5" s="3" t="str">
        <f>HLOOKUP(LEFT(B5,1),'Tabel Bantu'!$B$2:$C$3,2,FALSE)</f>
        <v>Reguler</v>
      </c>
      <c r="G5" s="3" t="str">
        <f t="shared" ref="G5:G16" si="1">IF(MID(B5,2,1)="M","Mahasiswa",IF(MID(B5,2,1)="K","Karyawan","Profesional"))</f>
        <v>Mahasiswa</v>
      </c>
      <c r="H5" s="14">
        <f t="shared" ref="H5:H16" si="2">VALUE(MID(B5,4,3))</f>
        <v>10</v>
      </c>
      <c r="I5" s="4">
        <f>VLOOKUP(MID(B5,8,2),'Tabel Bantu'!$A$9:$E$12,IF(G5="Mahasiswa",3,IF(G5="Karyawan",4,5)),FALSE)</f>
        <v>200000</v>
      </c>
      <c r="J5" s="4">
        <f t="shared" ref="J5:J16" si="3">IF(H5&gt;=10,15%*I5,IF(H5&gt;=7,10%*I5,0))</f>
        <v>30000</v>
      </c>
      <c r="K5" s="4">
        <f t="shared" ref="K5:K16" si="4">(H5*I5)-J5</f>
        <v>1970000</v>
      </c>
      <c r="L5" s="3" t="str">
        <f t="shared" ref="L5:L16" si="5">IF(OR(K5&gt;2500000,G5="Profesional"),"Note Book","Jam Dinding")</f>
        <v>Jam Dinding</v>
      </c>
    </row>
    <row r="6" spans="1:12" x14ac:dyDescent="0.35">
      <c r="A6" s="2">
        <v>2</v>
      </c>
      <c r="B6" s="3" t="s">
        <v>15</v>
      </c>
      <c r="C6" s="3" t="s">
        <v>16</v>
      </c>
      <c r="D6" s="3" t="str">
        <f>VLOOKUP(MID(B6,8,2),'Tabel Bantu'!$A$9:$E$12,2,FALSE)</f>
        <v>OFFICE</v>
      </c>
      <c r="E6" s="3" t="str">
        <f t="shared" si="0"/>
        <v>Tunai</v>
      </c>
      <c r="F6" s="3" t="str">
        <f>HLOOKUP(LEFT(B6,1),'Tabel Bantu'!$B$2:$C$3,2,FALSE)</f>
        <v>Ekstensi</v>
      </c>
      <c r="G6" s="3" t="str">
        <f t="shared" si="1"/>
        <v>Karyawan</v>
      </c>
      <c r="H6" s="14">
        <f t="shared" si="2"/>
        <v>9</v>
      </c>
      <c r="I6" s="4">
        <f>VLOOKUP(MID(B6,8,2),'Tabel Bantu'!$A$9:$E$12,IF(G6="Mahasiswa",3,IF(G6="Karyawan",4,5)),FALSE)</f>
        <v>200000</v>
      </c>
      <c r="J6" s="4">
        <f t="shared" si="3"/>
        <v>20000</v>
      </c>
      <c r="K6" s="4">
        <f t="shared" si="4"/>
        <v>1780000</v>
      </c>
      <c r="L6" s="3" t="str">
        <f t="shared" si="5"/>
        <v>Jam Dinding</v>
      </c>
    </row>
    <row r="7" spans="1:12" x14ac:dyDescent="0.35">
      <c r="A7" s="2">
        <v>3</v>
      </c>
      <c r="B7" s="3" t="s">
        <v>17</v>
      </c>
      <c r="C7" s="3" t="s">
        <v>18</v>
      </c>
      <c r="D7" s="3" t="str">
        <f>VLOOKUP(MID(B7,8,2),'Tabel Bantu'!$A$9:$E$12,2,FALSE)</f>
        <v>DESAIN GRAFIS</v>
      </c>
      <c r="E7" s="3" t="str">
        <f t="shared" si="0"/>
        <v>Transfer</v>
      </c>
      <c r="F7" s="3" t="str">
        <f>HLOOKUP(LEFT(B7,1),'Tabel Bantu'!$B$2:$C$3,2,FALSE)</f>
        <v>Ekstensi</v>
      </c>
      <c r="G7" s="3" t="str">
        <f t="shared" si="1"/>
        <v>Profesional</v>
      </c>
      <c r="H7" s="14">
        <f t="shared" si="2"/>
        <v>12</v>
      </c>
      <c r="I7" s="4">
        <f>VLOOKUP(MID(B7,8,2),'Tabel Bantu'!$A$9:$E$12,IF(G7="Mahasiswa",3,IF(G7="Karyawan",4,5)),FALSE)</f>
        <v>250000</v>
      </c>
      <c r="J7" s="4">
        <f t="shared" si="3"/>
        <v>37500</v>
      </c>
      <c r="K7" s="4">
        <f t="shared" si="4"/>
        <v>2962500</v>
      </c>
      <c r="L7" s="3" t="str">
        <f t="shared" si="5"/>
        <v>Note Book</v>
      </c>
    </row>
    <row r="8" spans="1:12" x14ac:dyDescent="0.35">
      <c r="A8" s="2">
        <v>4</v>
      </c>
      <c r="B8" s="3" t="s">
        <v>19</v>
      </c>
      <c r="C8" s="3" t="s">
        <v>20</v>
      </c>
      <c r="D8" s="3" t="str">
        <f>VLOOKUP(MID(B8,8,2),'Tabel Bantu'!$A$9:$E$12,2,FALSE)</f>
        <v>OFFICE</v>
      </c>
      <c r="E8" s="3" t="str">
        <f t="shared" si="0"/>
        <v>Tunai</v>
      </c>
      <c r="F8" s="3" t="str">
        <f>HLOOKUP(LEFT(B8,1),'Tabel Bantu'!$B$2:$C$3,2,FALSE)</f>
        <v>Reguler</v>
      </c>
      <c r="G8" s="3" t="str">
        <f t="shared" si="1"/>
        <v>Mahasiswa</v>
      </c>
      <c r="H8" s="14">
        <f t="shared" si="2"/>
        <v>11</v>
      </c>
      <c r="I8" s="4">
        <f>VLOOKUP(MID(B8,8,2),'Tabel Bantu'!$A$9:$E$12,IF(G8="Mahasiswa",3,IF(G8="Karyawan",4,5)),FALSE)</f>
        <v>125000</v>
      </c>
      <c r="J8" s="4">
        <f t="shared" si="3"/>
        <v>18750</v>
      </c>
      <c r="K8" s="4">
        <f t="shared" si="4"/>
        <v>1356250</v>
      </c>
      <c r="L8" s="3" t="str">
        <f t="shared" si="5"/>
        <v>Jam Dinding</v>
      </c>
    </row>
    <row r="9" spans="1:12" x14ac:dyDescent="0.35">
      <c r="A9" s="2">
        <v>5</v>
      </c>
      <c r="B9" s="3" t="s">
        <v>21</v>
      </c>
      <c r="C9" s="3" t="s">
        <v>22</v>
      </c>
      <c r="D9" s="3" t="str">
        <f>VLOOKUP(MID(B9,8,2),'Tabel Bantu'!$A$9:$E$12,2,FALSE)</f>
        <v>DESAIN GRAFIS</v>
      </c>
      <c r="E9" s="3" t="str">
        <f t="shared" si="0"/>
        <v>Transfer</v>
      </c>
      <c r="F9" s="3" t="str">
        <f>HLOOKUP(LEFT(B9,1),'Tabel Bantu'!$B$2:$C$3,2,FALSE)</f>
        <v>Reguler</v>
      </c>
      <c r="G9" s="3" t="str">
        <f t="shared" si="1"/>
        <v>Karyawan</v>
      </c>
      <c r="H9" s="14">
        <f t="shared" si="2"/>
        <v>15</v>
      </c>
      <c r="I9" s="4">
        <f>VLOOKUP(MID(B9,8,2),'Tabel Bantu'!$A$9:$E$12,IF(G9="Mahasiswa",3,IF(G9="Karyawan",4,5)),FALSE)</f>
        <v>225000</v>
      </c>
      <c r="J9" s="4">
        <f t="shared" si="3"/>
        <v>33750</v>
      </c>
      <c r="K9" s="4">
        <f t="shared" si="4"/>
        <v>3341250</v>
      </c>
      <c r="L9" s="3" t="str">
        <f t="shared" si="5"/>
        <v>Note Book</v>
      </c>
    </row>
    <row r="10" spans="1:12" x14ac:dyDescent="0.35">
      <c r="A10" s="2">
        <v>6</v>
      </c>
      <c r="B10" s="3" t="s">
        <v>23</v>
      </c>
      <c r="C10" s="3" t="s">
        <v>24</v>
      </c>
      <c r="D10" s="3" t="str">
        <f>VLOOKUP(MID(B10,8,2),'Tabel Bantu'!$A$9:$E$12,2,FALSE)</f>
        <v>PROGRAMMING</v>
      </c>
      <c r="E10" s="3" t="str">
        <f t="shared" si="0"/>
        <v>Transfer</v>
      </c>
      <c r="F10" s="3" t="str">
        <f>HLOOKUP(LEFT(B10,1),'Tabel Bantu'!$B$2:$C$3,2,FALSE)</f>
        <v>Ekstensi</v>
      </c>
      <c r="G10" s="3" t="str">
        <f t="shared" si="1"/>
        <v>Profesional</v>
      </c>
      <c r="H10" s="14">
        <f t="shared" si="2"/>
        <v>8</v>
      </c>
      <c r="I10" s="4">
        <f>VLOOKUP(MID(B10,8,2),'Tabel Bantu'!$A$9:$E$12,IF(G10="Mahasiswa",3,IF(G10="Karyawan",4,5)),FALSE)</f>
        <v>300000</v>
      </c>
      <c r="J10" s="4">
        <f t="shared" si="3"/>
        <v>30000</v>
      </c>
      <c r="K10" s="4">
        <f t="shared" si="4"/>
        <v>2370000</v>
      </c>
      <c r="L10" s="3" t="str">
        <f t="shared" si="5"/>
        <v>Note Book</v>
      </c>
    </row>
    <row r="11" spans="1:12" x14ac:dyDescent="0.35">
      <c r="A11" s="2">
        <v>7</v>
      </c>
      <c r="B11" s="3" t="s">
        <v>25</v>
      </c>
      <c r="C11" s="3" t="s">
        <v>26</v>
      </c>
      <c r="D11" s="3" t="str">
        <f>VLOOKUP(MID(B11,8,2),'Tabel Bantu'!$A$9:$E$12,2,FALSE)</f>
        <v>PROGRAMMING</v>
      </c>
      <c r="E11" s="3" t="str">
        <f t="shared" si="0"/>
        <v>Tunai</v>
      </c>
      <c r="F11" s="3" t="str">
        <f>HLOOKUP(LEFT(B11,1),'Tabel Bantu'!$B$2:$C$3,2,FALSE)</f>
        <v>Ekstensi</v>
      </c>
      <c r="G11" s="3" t="str">
        <f t="shared" si="1"/>
        <v>Profesional</v>
      </c>
      <c r="H11" s="14">
        <f t="shared" si="2"/>
        <v>10</v>
      </c>
      <c r="I11" s="4">
        <f>VLOOKUP(MID(B11,8,2),'Tabel Bantu'!$A$9:$E$12,IF(G11="Mahasiswa",3,IF(G11="Karyawan",4,5)),FALSE)</f>
        <v>300000</v>
      </c>
      <c r="J11" s="4">
        <f t="shared" si="3"/>
        <v>45000</v>
      </c>
      <c r="K11" s="4">
        <f t="shared" si="4"/>
        <v>2955000</v>
      </c>
      <c r="L11" s="3" t="str">
        <f t="shared" si="5"/>
        <v>Note Book</v>
      </c>
    </row>
    <row r="12" spans="1:12" x14ac:dyDescent="0.35">
      <c r="A12" s="2">
        <v>8</v>
      </c>
      <c r="B12" s="3" t="s">
        <v>27</v>
      </c>
      <c r="C12" s="3" t="s">
        <v>28</v>
      </c>
      <c r="D12" s="3" t="str">
        <f>VLOOKUP(MID(B12,8,2),'Tabel Bantu'!$A$9:$E$12,2,FALSE)</f>
        <v>PROGRAMMING</v>
      </c>
      <c r="E12" s="3" t="str">
        <f t="shared" si="0"/>
        <v>Tunai</v>
      </c>
      <c r="F12" s="3" t="str">
        <f>HLOOKUP(LEFT(B12,1),'Tabel Bantu'!$B$2:$C$3,2,FALSE)</f>
        <v>Reguler</v>
      </c>
      <c r="G12" s="3" t="str">
        <f t="shared" si="1"/>
        <v>Profesional</v>
      </c>
      <c r="H12" s="14">
        <f t="shared" si="2"/>
        <v>11</v>
      </c>
      <c r="I12" s="4">
        <f>VLOOKUP(MID(B12,8,2),'Tabel Bantu'!$A$9:$E$12,IF(G12="Mahasiswa",3,IF(G12="Karyawan",4,5)),FALSE)</f>
        <v>300000</v>
      </c>
      <c r="J12" s="4">
        <f t="shared" si="3"/>
        <v>45000</v>
      </c>
      <c r="K12" s="4">
        <f t="shared" si="4"/>
        <v>3255000</v>
      </c>
      <c r="L12" s="3" t="str">
        <f t="shared" si="5"/>
        <v>Note Book</v>
      </c>
    </row>
    <row r="13" spans="1:12" x14ac:dyDescent="0.35">
      <c r="A13" s="2">
        <v>9</v>
      </c>
      <c r="B13" s="3" t="s">
        <v>29</v>
      </c>
      <c r="C13" s="3" t="s">
        <v>30</v>
      </c>
      <c r="D13" s="3" t="str">
        <f>VLOOKUP(MID(B13,8,2),'Tabel Bantu'!$A$9:$E$12,2,FALSE)</f>
        <v>DESAIN GRAFIS</v>
      </c>
      <c r="E13" s="3" t="str">
        <f t="shared" si="0"/>
        <v>Transfer</v>
      </c>
      <c r="F13" s="3" t="str">
        <f>HLOOKUP(LEFT(B13,1),'Tabel Bantu'!$B$2:$C$3,2,FALSE)</f>
        <v>Reguler</v>
      </c>
      <c r="G13" s="3" t="str">
        <f t="shared" si="1"/>
        <v>Karyawan</v>
      </c>
      <c r="H13" s="14">
        <f t="shared" si="2"/>
        <v>7</v>
      </c>
      <c r="I13" s="4">
        <f>VLOOKUP(MID(B13,8,2),'Tabel Bantu'!$A$9:$E$12,IF(G13="Mahasiswa",3,IF(G13="Karyawan",4,5)),FALSE)</f>
        <v>225000</v>
      </c>
      <c r="J13" s="4">
        <f t="shared" si="3"/>
        <v>22500</v>
      </c>
      <c r="K13" s="4">
        <f t="shared" si="4"/>
        <v>1552500</v>
      </c>
      <c r="L13" s="3" t="str">
        <f t="shared" si="5"/>
        <v>Jam Dinding</v>
      </c>
    </row>
    <row r="14" spans="1:12" x14ac:dyDescent="0.35">
      <c r="A14" s="2">
        <v>10</v>
      </c>
      <c r="B14" s="3" t="s">
        <v>31</v>
      </c>
      <c r="C14" s="3" t="s">
        <v>32</v>
      </c>
      <c r="D14" s="3" t="str">
        <f>VLOOKUP(MID(B14,8,2),'Tabel Bantu'!$A$9:$E$12,2,FALSE)</f>
        <v>OFFICE</v>
      </c>
      <c r="E14" s="3" t="str">
        <f t="shared" si="0"/>
        <v>Transfer</v>
      </c>
      <c r="F14" s="3" t="str">
        <f>HLOOKUP(LEFT(B14,1),'Tabel Bantu'!$B$2:$C$3,2,FALSE)</f>
        <v>Ekstensi</v>
      </c>
      <c r="G14" s="3" t="str">
        <f t="shared" si="1"/>
        <v>Mahasiswa</v>
      </c>
      <c r="H14" s="14">
        <f t="shared" si="2"/>
        <v>11</v>
      </c>
      <c r="I14" s="4">
        <f>VLOOKUP(MID(B14,8,2),'Tabel Bantu'!$A$9:$E$12,IF(G14="Mahasiswa",3,IF(G14="Karyawan",4,5)),FALSE)</f>
        <v>125000</v>
      </c>
      <c r="J14" s="4">
        <f t="shared" si="3"/>
        <v>18750</v>
      </c>
      <c r="K14" s="4">
        <f t="shared" si="4"/>
        <v>1356250</v>
      </c>
      <c r="L14" s="3" t="str">
        <f t="shared" si="5"/>
        <v>Jam Dinding</v>
      </c>
    </row>
    <row r="15" spans="1:12" x14ac:dyDescent="0.35">
      <c r="A15" s="2">
        <v>11</v>
      </c>
      <c r="B15" s="3" t="s">
        <v>33</v>
      </c>
      <c r="C15" s="3" t="s">
        <v>34</v>
      </c>
      <c r="D15" s="3" t="str">
        <f>VLOOKUP(MID(B15,8,2),'Tabel Bantu'!$A$9:$E$12,2,FALSE)</f>
        <v>OFFICE</v>
      </c>
      <c r="E15" s="3" t="str">
        <f t="shared" si="0"/>
        <v>Tunai</v>
      </c>
      <c r="F15" s="3" t="str">
        <f>HLOOKUP(LEFT(B15,1),'Tabel Bantu'!$B$2:$C$3,2,FALSE)</f>
        <v>Ekstensi</v>
      </c>
      <c r="G15" s="3" t="str">
        <f t="shared" si="1"/>
        <v>Profesional</v>
      </c>
      <c r="H15" s="14">
        <f t="shared" si="2"/>
        <v>15</v>
      </c>
      <c r="I15" s="4">
        <f>VLOOKUP(MID(B15,8,2),'Tabel Bantu'!$A$9:$E$12,IF(G15="Mahasiswa",3,IF(G15="Karyawan",4,5)),FALSE)</f>
        <v>225000</v>
      </c>
      <c r="J15" s="4">
        <f t="shared" si="3"/>
        <v>33750</v>
      </c>
      <c r="K15" s="4">
        <f t="shared" si="4"/>
        <v>3341250</v>
      </c>
      <c r="L15" s="3" t="str">
        <f t="shared" si="5"/>
        <v>Note Book</v>
      </c>
    </row>
    <row r="16" spans="1:12" x14ac:dyDescent="0.35">
      <c r="A16" s="2">
        <v>12</v>
      </c>
      <c r="B16" s="3" t="s">
        <v>35</v>
      </c>
      <c r="C16" s="3" t="s">
        <v>36</v>
      </c>
      <c r="D16" s="3" t="str">
        <f>VLOOKUP(MID(B16,8,2),'Tabel Bantu'!$A$9:$E$12,2,FALSE)</f>
        <v>DESAIN GRAFIS</v>
      </c>
      <c r="E16" s="3" t="str">
        <f t="shared" si="0"/>
        <v>Transfer</v>
      </c>
      <c r="F16" s="10" t="str">
        <f>HLOOKUP(LEFT(B16,1),'Tabel Bantu'!$B$2:$C$3,2,FALSE)</f>
        <v>Ekstensi</v>
      </c>
      <c r="G16" s="10" t="str">
        <f t="shared" si="1"/>
        <v>Karyawan</v>
      </c>
      <c r="H16" s="15">
        <f t="shared" si="2"/>
        <v>15</v>
      </c>
      <c r="I16" s="11">
        <f>VLOOKUP(MID(B16,8,2),'Tabel Bantu'!$A$9:$E$12,IF(G16="Mahasiswa",3,IF(G16="Karyawan",4,5)),FALSE)</f>
        <v>225000</v>
      </c>
      <c r="J16" s="11">
        <f t="shared" si="3"/>
        <v>33750</v>
      </c>
      <c r="K16" s="11">
        <f t="shared" si="4"/>
        <v>3341250</v>
      </c>
      <c r="L16" s="10" t="str">
        <f t="shared" si="5"/>
        <v>Note Book</v>
      </c>
    </row>
    <row r="17" spans="1:12" x14ac:dyDescent="0.35">
      <c r="A17" s="17" t="s">
        <v>37</v>
      </c>
      <c r="B17" s="18"/>
      <c r="C17" s="18"/>
      <c r="D17" s="19">
        <f>COUNTIF(D5:D16,"PROGRAMMING")</f>
        <v>4</v>
      </c>
      <c r="F17" s="12" t="s">
        <v>38</v>
      </c>
      <c r="G17" s="12"/>
      <c r="H17" s="20">
        <f>MAX(H5:H16)</f>
        <v>15</v>
      </c>
      <c r="I17" s="13"/>
      <c r="J17" s="13"/>
      <c r="K17" s="13"/>
      <c r="L17" s="13"/>
    </row>
    <row r="18" spans="1:12" x14ac:dyDescent="0.35">
      <c r="A18" s="17" t="s">
        <v>39</v>
      </c>
      <c r="B18" s="18"/>
      <c r="C18" s="18"/>
      <c r="D18" s="19">
        <f>COUNTIF(D5:D16,"DESAIN GRAFIS")</f>
        <v>4</v>
      </c>
      <c r="F18" s="12" t="s">
        <v>40</v>
      </c>
      <c r="G18" s="12"/>
      <c r="H18" s="12"/>
      <c r="I18" s="21">
        <f>SUM(I5:I16)</f>
        <v>2700000</v>
      </c>
      <c r="J18" s="13"/>
      <c r="K18" s="13"/>
      <c r="L18" s="13"/>
    </row>
    <row r="19" spans="1:12" x14ac:dyDescent="0.35">
      <c r="A19" s="17" t="s">
        <v>41</v>
      </c>
      <c r="B19" s="18"/>
      <c r="C19" s="18"/>
      <c r="D19" s="19">
        <f>COUNTIF(D5:D16,"OFFICE")</f>
        <v>4</v>
      </c>
      <c r="F19" s="12" t="s">
        <v>42</v>
      </c>
      <c r="G19" s="12"/>
      <c r="H19" s="12"/>
      <c r="I19" s="12"/>
      <c r="J19" s="21">
        <f>AVERAGE(J5:J16)</f>
        <v>30729.166666666668</v>
      </c>
      <c r="K19" s="13"/>
      <c r="L19" s="13"/>
    </row>
    <row r="20" spans="1:12" x14ac:dyDescent="0.35">
      <c r="F20" s="12" t="s">
        <v>43</v>
      </c>
      <c r="G20" s="12"/>
      <c r="H20" s="12"/>
      <c r="I20" s="12"/>
      <c r="J20" s="12"/>
      <c r="K20" s="21">
        <f>MIN(K5:K16)</f>
        <v>1356250</v>
      </c>
      <c r="L20" s="13"/>
    </row>
  </sheetData>
  <mergeCells count="9">
    <mergeCell ref="A1:L1"/>
    <mergeCell ref="A2:L2"/>
    <mergeCell ref="F17:G17"/>
    <mergeCell ref="F18:H18"/>
    <mergeCell ref="F19:I19"/>
    <mergeCell ref="F20:J20"/>
    <mergeCell ref="A19:C19"/>
    <mergeCell ref="A17:C17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5" x14ac:dyDescent="0.35"/>
  <cols>
    <col min="1" max="1" width="56" customWidth="1"/>
    <col min="2" max="2" width="16" customWidth="1"/>
    <col min="3" max="5" width="18" customWidth="1"/>
    <col min="6" max="8" width="10" customWidth="1"/>
  </cols>
  <sheetData>
    <row r="1" spans="1:5" ht="18" x14ac:dyDescent="0.4">
      <c r="A1" s="1" t="s">
        <v>44</v>
      </c>
    </row>
    <row r="2" spans="1:5" x14ac:dyDescent="0.35">
      <c r="A2" s="5" t="s">
        <v>45</v>
      </c>
      <c r="B2" s="5" t="s">
        <v>46</v>
      </c>
      <c r="C2" s="5" t="s">
        <v>47</v>
      </c>
    </row>
    <row r="3" spans="1:5" x14ac:dyDescent="0.35">
      <c r="A3" s="3" t="s">
        <v>48</v>
      </c>
      <c r="B3" s="3" t="s">
        <v>49</v>
      </c>
      <c r="C3" s="3" t="s">
        <v>50</v>
      </c>
    </row>
    <row r="8" spans="1:5" x14ac:dyDescent="0.35">
      <c r="A8" s="6" t="s">
        <v>51</v>
      </c>
    </row>
    <row r="9" spans="1:5" x14ac:dyDescent="0.35">
      <c r="A9" s="7" t="s">
        <v>52</v>
      </c>
      <c r="B9" s="7" t="s">
        <v>53</v>
      </c>
      <c r="C9" s="7" t="s">
        <v>54</v>
      </c>
      <c r="D9" s="7" t="s">
        <v>55</v>
      </c>
      <c r="E9" s="7" t="s">
        <v>56</v>
      </c>
    </row>
    <row r="10" spans="1:5" x14ac:dyDescent="0.35">
      <c r="A10" s="3" t="s">
        <v>57</v>
      </c>
      <c r="B10" s="3" t="s">
        <v>58</v>
      </c>
      <c r="C10" s="4">
        <v>200000</v>
      </c>
      <c r="D10" s="4">
        <v>275000</v>
      </c>
      <c r="E10" s="4">
        <v>300000</v>
      </c>
    </row>
    <row r="11" spans="1:5" x14ac:dyDescent="0.35">
      <c r="A11" s="3" t="s">
        <v>59</v>
      </c>
      <c r="B11" s="3" t="s">
        <v>60</v>
      </c>
      <c r="C11" s="4">
        <v>150000</v>
      </c>
      <c r="D11" s="4">
        <v>225000</v>
      </c>
      <c r="E11" s="4">
        <v>250000</v>
      </c>
    </row>
    <row r="12" spans="1:5" x14ac:dyDescent="0.35">
      <c r="A12" s="3" t="s">
        <v>61</v>
      </c>
      <c r="B12" s="3" t="s">
        <v>62</v>
      </c>
      <c r="C12" s="4">
        <v>125000</v>
      </c>
      <c r="D12" s="4">
        <v>200000</v>
      </c>
      <c r="E12" s="4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Tugas Praktikum 4</vt:lpstr>
      <vt:lpstr>Tabel Bantu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Xander</cp:lastModifiedBy>
  <dcterms:created xsi:type="dcterms:W3CDTF">2026-10-23T05:16:23Z</dcterms:created>
  <dcterms:modified xsi:type="dcterms:W3CDTF">2026-10-23T05:32:48Z</dcterms:modified>
</cp:coreProperties>
</file>