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nxa\Downloads\DDP\output_soal\"/>
    </mc:Choice>
  </mc:AlternateContent>
  <xr:revisionPtr revIDLastSave="0" documentId="13_ncr:1_{3CA601EA-A306-4BD4-944D-171BF88757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ugas Praktikum 3" sheetId="1" r:id="rId1"/>
    <sheet name="Tabel Bantu" sheetId="2" r:id="rId2"/>
  </sheets>
  <definedNames>
    <definedName name="JK">'Tabel Bantu'!$A$3:$E$7</definedName>
    <definedName name="ST">'Tabel Bantu'!$A$9:$C$10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I19" i="1"/>
  <c r="E5" i="1"/>
  <c r="H5" i="1" s="1"/>
  <c r="D17" i="1"/>
  <c r="G16" i="1"/>
  <c r="L16" i="1" s="1"/>
  <c r="F16" i="1"/>
  <c r="E16" i="1"/>
  <c r="H16" i="1" s="1"/>
  <c r="D16" i="1"/>
  <c r="G15" i="1"/>
  <c r="F15" i="1"/>
  <c r="E15" i="1"/>
  <c r="H15" i="1" s="1"/>
  <c r="D15" i="1"/>
  <c r="H14" i="1"/>
  <c r="G14" i="1"/>
  <c r="L14" i="1" s="1"/>
  <c r="F14" i="1"/>
  <c r="E14" i="1"/>
  <c r="D14" i="1"/>
  <c r="G13" i="1"/>
  <c r="F13" i="1"/>
  <c r="E13" i="1"/>
  <c r="H13" i="1" s="1"/>
  <c r="D13" i="1"/>
  <c r="H12" i="1"/>
  <c r="I12" i="1" s="1"/>
  <c r="G12" i="1"/>
  <c r="F12" i="1"/>
  <c r="E12" i="1"/>
  <c r="D12" i="1"/>
  <c r="H11" i="1"/>
  <c r="G11" i="1"/>
  <c r="L11" i="1" s="1"/>
  <c r="F11" i="1"/>
  <c r="E11" i="1"/>
  <c r="D11" i="1"/>
  <c r="G10" i="1"/>
  <c r="F10" i="1"/>
  <c r="E10" i="1"/>
  <c r="H10" i="1" s="1"/>
  <c r="D10" i="1"/>
  <c r="H9" i="1"/>
  <c r="I9" i="1" s="1"/>
  <c r="G9" i="1"/>
  <c r="F9" i="1"/>
  <c r="E9" i="1"/>
  <c r="D9" i="1"/>
  <c r="L9" i="1" s="1"/>
  <c r="G8" i="1"/>
  <c r="F8" i="1"/>
  <c r="E8" i="1"/>
  <c r="H8" i="1" s="1"/>
  <c r="I8" i="1" s="1"/>
  <c r="D8" i="1"/>
  <c r="L8" i="1" s="1"/>
  <c r="G7" i="1"/>
  <c r="F7" i="1"/>
  <c r="E7" i="1"/>
  <c r="H7" i="1" s="1"/>
  <c r="D7" i="1"/>
  <c r="G6" i="1"/>
  <c r="L6" i="1" s="1"/>
  <c r="F6" i="1"/>
  <c r="E6" i="1"/>
  <c r="H6" i="1" s="1"/>
  <c r="D6" i="1"/>
  <c r="G5" i="1"/>
  <c r="F5" i="1"/>
  <c r="D5" i="1"/>
  <c r="I11" i="1" l="1"/>
  <c r="I10" i="1"/>
  <c r="L13" i="1"/>
  <c r="D18" i="1"/>
  <c r="L15" i="1"/>
  <c r="D19" i="1"/>
  <c r="L7" i="1"/>
  <c r="L12" i="1"/>
  <c r="I16" i="1"/>
  <c r="J8" i="1"/>
  <c r="K8" i="1" s="1"/>
  <c r="J16" i="1"/>
  <c r="K16" i="1" s="1"/>
  <c r="J9" i="1"/>
  <c r="K9" i="1" s="1"/>
  <c r="J12" i="1"/>
  <c r="K12" i="1" s="1"/>
  <c r="H20" i="1"/>
  <c r="J11" i="1"/>
  <c r="K11" i="1" s="1"/>
  <c r="J10" i="1"/>
  <c r="K10" i="1" s="1"/>
  <c r="I5" i="1"/>
  <c r="J5" i="1" s="1"/>
  <c r="L10" i="1"/>
  <c r="I13" i="1"/>
  <c r="I6" i="1"/>
  <c r="J6" i="1" s="1"/>
  <c r="J13" i="1"/>
  <c r="I14" i="1"/>
  <c r="J14" i="1" s="1"/>
  <c r="I7" i="1"/>
  <c r="I15" i="1"/>
  <c r="J7" i="1" l="1"/>
  <c r="J18" i="1" s="1"/>
  <c r="K14" i="1"/>
  <c r="K13" i="1"/>
  <c r="K5" i="1"/>
  <c r="K6" i="1"/>
  <c r="J15" i="1"/>
  <c r="K15" i="1" s="1"/>
  <c r="K7" i="1" l="1"/>
  <c r="K17" i="1" s="1"/>
</calcChain>
</file>

<file path=xl/sharedStrings.xml><?xml version="1.0" encoding="utf-8"?>
<sst xmlns="http://schemas.openxmlformats.org/spreadsheetml/2006/main" count="66" uniqueCount="66">
  <si>
    <t>Jalan Kalibata Tengah No. 41, Kalibata Kec. Pancoran, Kota Jakarta Selatan, DKI Jakarta 12740, Hp. 0877-8978-9581</t>
  </si>
  <si>
    <t>No</t>
  </si>
  <si>
    <t>Nomor Pesanan</t>
  </si>
  <si>
    <t>Nama Pelanggan</t>
  </si>
  <si>
    <t>Status</t>
  </si>
  <si>
    <t>Nama Barang</t>
  </si>
  <si>
    <t>Jenis Barang</t>
  </si>
  <si>
    <t>Jumlah Order</t>
  </si>
  <si>
    <t>Harga Sewa</t>
  </si>
  <si>
    <t>Total Harga</t>
  </si>
  <si>
    <t>Potongan Harga</t>
  </si>
  <si>
    <t>Total Biaya Sewa</t>
  </si>
  <si>
    <t>Bonus</t>
  </si>
  <si>
    <t>P-SL-124-M</t>
  </si>
  <si>
    <t>SAPUTRA</t>
  </si>
  <si>
    <t>M-MD-090-N</t>
  </si>
  <si>
    <t>NAPITUPULU</t>
  </si>
  <si>
    <t>G-LG-080-M</t>
  </si>
  <si>
    <t>DEVIN</t>
  </si>
  <si>
    <t>G-EX-150-M</t>
  </si>
  <si>
    <t>ALTASYA</t>
  </si>
  <si>
    <t>M-EX-075-M</t>
  </si>
  <si>
    <t>ERLANGGA</t>
  </si>
  <si>
    <t>P-LG-100-N</t>
  </si>
  <si>
    <t>APRIRIANSYAH</t>
  </si>
  <si>
    <t>M-MD-095-N</t>
  </si>
  <si>
    <t>ANGGUN</t>
  </si>
  <si>
    <t>G-SL-110-N</t>
  </si>
  <si>
    <t>DEPRIANSAH</t>
  </si>
  <si>
    <t>P-MD-083-N</t>
  </si>
  <si>
    <t>PRATAMA</t>
  </si>
  <si>
    <t>M-LG-107-N</t>
  </si>
  <si>
    <t>GUSBRIANA</t>
  </si>
  <si>
    <t>G-SL-098-M</t>
  </si>
  <si>
    <t>GALUH</t>
  </si>
  <si>
    <t>G-EX-121-N</t>
  </si>
  <si>
    <t>SETIAWAN</t>
  </si>
  <si>
    <t>Jumlah Seluruh Data</t>
  </si>
  <si>
    <t>Jumlah Seluruh Total Biaya Penyewaan</t>
  </si>
  <si>
    <t>Jumlah Data Status MEMBER</t>
  </si>
  <si>
    <t>Nilai Tertinggi Potongan Harga</t>
  </si>
  <si>
    <t>Jumlah Data Status NON MEMBER</t>
  </si>
  <si>
    <t>Nilai Terendah Harga Sewa</t>
  </si>
  <si>
    <t>Rata-Rata Harga Sewa</t>
  </si>
  <si>
    <t>Kode</t>
  </si>
  <si>
    <t>Jenis</t>
  </si>
  <si>
    <t>Piring</t>
  </si>
  <si>
    <t>Mangkok</t>
  </si>
  <si>
    <t>Gelas</t>
  </si>
  <si>
    <t>SL</t>
  </si>
  <si>
    <t>Small</t>
  </si>
  <si>
    <t>MD</t>
  </si>
  <si>
    <t>Medium</t>
  </si>
  <si>
    <t>LG</t>
  </si>
  <si>
    <t>Large</t>
  </si>
  <si>
    <t>EX</t>
  </si>
  <si>
    <t>Extra</t>
  </si>
  <si>
    <t>KODE</t>
  </si>
  <si>
    <t>M</t>
  </si>
  <si>
    <t>N</t>
  </si>
  <si>
    <t>STATUS</t>
  </si>
  <si>
    <t>Member</t>
  </si>
  <si>
    <t>Non Member</t>
  </si>
  <si>
    <t>EATEVER Catering Service</t>
  </si>
  <si>
    <t>Tabel Help 2</t>
  </si>
  <si>
    <t>Tabel Help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</si>
</sst>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 &quot;#,##0"/>
  </numFmts>
  <fonts count="11" x14ac:knownFonts="1">
    <font>
      <sz val="11"/>
      <color theme="1"/>
      <name val="Calibri"/>
      <family val="2"/>
      <scheme val="minor"/>
    </font>
    <font>
      <b/>
      <sz val="14"/>
      <color rgb="FF1F497D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4"/>
      <color rgb="FF1F497D"/>
      <name val="Algerian"/>
      <family val="5"/>
    </font>
    <font>
      <i/>
      <sz val="9"/>
      <color rgb="FF595959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55A11"/>
        <bgColor rgb="FFC55A11"/>
      </patternFill>
    </fill>
    <fill>
      <patternFill patternType="solid">
        <fgColor rgb="FFD9E1F2"/>
        <bgColor rgb="FFD9E1F2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9" fillId="4" borderId="0" applyNumberFormat="0" applyBorder="0" applyAlignment="0" applyProtection="0"/>
    <xf numFmtId="0" fontId="7" fillId="5" borderId="0" applyNumberFormat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3" fillId="0" borderId="1" xfId="0" applyFont="1" applyBorder="1"/>
    <xf numFmtId="164" fontId="3" fillId="0" borderId="1" xfId="0" applyNumberFormat="1" applyFont="1" applyBorder="1"/>
    <xf numFmtId="0" fontId="4" fillId="3" borderId="1" xfId="0" applyFont="1" applyFill="1" applyBorder="1" applyAlignment="1">
      <alignment horizontal="righ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4" fillId="3" borderId="1" xfId="0" applyNumberFormat="1" applyFont="1" applyFill="1" applyBorder="1" applyAlignment="1">
      <alignment horizontal="left" vertical="center"/>
    </xf>
    <xf numFmtId="0" fontId="0" fillId="0" borderId="1" xfId="0" applyBorder="1" applyAlignment="1"/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164" fontId="8" fillId="5" borderId="5" xfId="2" applyNumberFormat="1" applyFont="1" applyBorder="1"/>
    <xf numFmtId="0" fontId="4" fillId="3" borderId="7" xfId="0" applyFont="1" applyFill="1" applyBorder="1" applyAlignment="1">
      <alignment horizontal="right" vertical="center"/>
    </xf>
    <xf numFmtId="0" fontId="0" fillId="0" borderId="8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9" xfId="0" applyBorder="1" applyAlignment="1">
      <alignment horizontal="left"/>
    </xf>
    <xf numFmtId="164" fontId="4" fillId="3" borderId="7" xfId="0" applyNumberFormat="1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0" borderId="5" xfId="0" applyFont="1" applyBorder="1"/>
    <xf numFmtId="164" fontId="3" fillId="0" borderId="5" xfId="0" applyNumberFormat="1" applyFont="1" applyBorder="1"/>
    <xf numFmtId="0" fontId="4" fillId="3" borderId="7" xfId="0" applyFont="1" applyFill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10" fillId="0" borderId="0" xfId="0" applyFont="1"/>
    <xf numFmtId="0" fontId="9" fillId="4" borderId="1" xfId="1" applyBorder="1" applyAlignment="1">
      <alignment horizontal="center"/>
    </xf>
    <xf numFmtId="0" fontId="9" fillId="4" borderId="1" xfId="1" applyBorder="1"/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D12" sqref="D12"/>
    </sheetView>
  </sheetViews>
  <sheetFormatPr defaultRowHeight="14.5" x14ac:dyDescent="0.35"/>
  <cols>
    <col min="1" max="1" width="3.1796875" bestFit="1" customWidth="1"/>
    <col min="2" max="2" width="19.54296875" customWidth="1"/>
    <col min="3" max="3" width="27.90625" customWidth="1"/>
    <col min="4" max="4" width="25.6328125" customWidth="1"/>
    <col min="5" max="5" width="39" customWidth="1"/>
    <col min="6" max="7" width="15" customWidth="1"/>
    <col min="8" max="10" width="18" customWidth="1"/>
    <col min="11" max="11" width="19" customWidth="1"/>
    <col min="12" max="12" width="20.81640625" customWidth="1"/>
  </cols>
  <sheetData>
    <row r="1" spans="1:12" ht="19.5" x14ac:dyDescent="0.35">
      <c r="B1" s="6" t="s">
        <v>63</v>
      </c>
      <c r="C1" s="6"/>
      <c r="D1" s="6"/>
      <c r="E1" s="6"/>
    </row>
    <row r="2" spans="1:12" x14ac:dyDescent="0.35">
      <c r="B2" s="7" t="s">
        <v>0</v>
      </c>
      <c r="C2" s="7"/>
      <c r="D2" s="7"/>
      <c r="E2" s="7"/>
    </row>
    <row r="3" spans="1:12" x14ac:dyDescent="0.35">
      <c r="B3" s="27"/>
      <c r="C3" s="27"/>
      <c r="D3" s="27"/>
      <c r="E3" s="27"/>
    </row>
    <row r="4" spans="1:12" x14ac:dyDescent="0.35">
      <c r="A4" s="21" t="s">
        <v>1</v>
      </c>
      <c r="B4" s="21" t="s">
        <v>2</v>
      </c>
      <c r="C4" s="21" t="s">
        <v>3</v>
      </c>
      <c r="D4" s="21" t="s">
        <v>4</v>
      </c>
      <c r="E4" s="21" t="s">
        <v>5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  <c r="K4" s="21" t="s">
        <v>11</v>
      </c>
      <c r="L4" s="21" t="s">
        <v>12</v>
      </c>
    </row>
    <row r="5" spans="1:12" x14ac:dyDescent="0.35">
      <c r="A5" s="26">
        <v>1</v>
      </c>
      <c r="B5" s="22" t="s">
        <v>13</v>
      </c>
      <c r="C5" s="22" t="s">
        <v>14</v>
      </c>
      <c r="D5" s="22" t="str">
        <f>HLOOKUP(RIGHT(B5,1),'Tabel Bantu'!$B$9:$C$10,2,FALSE)</f>
        <v>Member</v>
      </c>
      <c r="E5" s="22" t="str">
        <f>IF(LEFT(B5,1)="P","Piring",IF(LEFT(B5,1)="G","Gelas","Mangkok"))</f>
        <v>Piring</v>
      </c>
      <c r="F5" s="22" t="str">
        <f>VLOOKUP(MID(B5,3,2),'Tabel Bantu'!$A$3:$E$7,2,FALSE)</f>
        <v>Small</v>
      </c>
      <c r="G5" s="22">
        <f t="shared" ref="G5:G16" si="0">VALUE(MID(B5,6,3))</f>
        <v>124</v>
      </c>
      <c r="H5" s="23">
        <f>VLOOKUP(MID(B5,3,2),'Tabel Bantu'!$A$3:$E$7,IF(E5="Piring",3,IF(E5="Mangkok",4,5)),FALSE)</f>
        <v>9000</v>
      </c>
      <c r="I5" s="23">
        <f t="shared" ref="I5:I16" si="1">G5*H5</f>
        <v>1116000</v>
      </c>
      <c r="J5" s="23">
        <f t="shared" ref="J5:J16" si="2">IF(G5&gt;100,15%*I5,IF(G5&gt;70,10%*I5,0))</f>
        <v>167400</v>
      </c>
      <c r="K5" s="23">
        <f t="shared" ref="K5:K16" si="3">I5-J5</f>
        <v>948600</v>
      </c>
      <c r="L5" s="22" t="str">
        <f>IF(AND(G5&gt;75,D5="Member"),"Souvenir","Tidak Dapat")</f>
        <v>Souvenir</v>
      </c>
    </row>
    <row r="6" spans="1:12" x14ac:dyDescent="0.35">
      <c r="A6" s="26">
        <v>2</v>
      </c>
      <c r="B6" s="22" t="s">
        <v>15</v>
      </c>
      <c r="C6" s="22" t="s">
        <v>16</v>
      </c>
      <c r="D6" s="22" t="str">
        <f>HLOOKUP(RIGHT(B6,1),'Tabel Bantu'!$B$9:$C$10,2,FALSE)</f>
        <v>Non Member</v>
      </c>
      <c r="E6" s="22" t="str">
        <f t="shared" ref="E6:E16" si="4">IF(LEFT(B6,1)="P","Piring",IF(LEFT(B6,1)="G","Gelas","Mangkok"))</f>
        <v>Mangkok</v>
      </c>
      <c r="F6" s="22" t="str">
        <f>VLOOKUP(MID(B6,3,2),'Tabel Bantu'!$A$3:$E$7,2,FALSE)</f>
        <v>Medium</v>
      </c>
      <c r="G6" s="22">
        <f t="shared" si="0"/>
        <v>90</v>
      </c>
      <c r="H6" s="23">
        <f>VLOOKUP(MID(B6,3,2),'Tabel Bantu'!$A$3:$E$7,IF(E6="Piring",3,IF(E6="Mangkok",4,5)),FALSE)</f>
        <v>14500</v>
      </c>
      <c r="I6" s="23">
        <f t="shared" si="1"/>
        <v>1305000</v>
      </c>
      <c r="J6" s="23">
        <f t="shared" si="2"/>
        <v>130500</v>
      </c>
      <c r="K6" s="23">
        <f t="shared" si="3"/>
        <v>1174500</v>
      </c>
      <c r="L6" s="22" t="str">
        <f t="shared" ref="L5:L16" si="5">IF(AND(G6&gt;75,D6="Member"),"Souvenir","Tidak Dapat")</f>
        <v>Tidak Dapat</v>
      </c>
    </row>
    <row r="7" spans="1:12" x14ac:dyDescent="0.35">
      <c r="A7" s="26">
        <v>3</v>
      </c>
      <c r="B7" s="22" t="s">
        <v>17</v>
      </c>
      <c r="C7" s="22" t="s">
        <v>18</v>
      </c>
      <c r="D7" s="22" t="str">
        <f>HLOOKUP(RIGHT(B7,1),'Tabel Bantu'!$B$9:$C$10,2,FALSE)</f>
        <v>Member</v>
      </c>
      <c r="E7" s="22" t="str">
        <f t="shared" si="4"/>
        <v>Gelas</v>
      </c>
      <c r="F7" s="22" t="str">
        <f>VLOOKUP(MID(B7,3,2),'Tabel Bantu'!$A$3:$E$7,2,FALSE)</f>
        <v>Large</v>
      </c>
      <c r="G7" s="22">
        <f t="shared" si="0"/>
        <v>80</v>
      </c>
      <c r="H7" s="23">
        <f>VLOOKUP(MID(B7,3,2),'Tabel Bantu'!$A$3:$E$7,IF(E7="Piring",3,IF(E7="Mangkok",4,5)),FALSE)</f>
        <v>10000</v>
      </c>
      <c r="I7" s="23">
        <f t="shared" si="1"/>
        <v>800000</v>
      </c>
      <c r="J7" s="23">
        <f t="shared" si="2"/>
        <v>80000</v>
      </c>
      <c r="K7" s="23">
        <f t="shared" si="3"/>
        <v>720000</v>
      </c>
      <c r="L7" s="22" t="str">
        <f t="shared" si="5"/>
        <v>Souvenir</v>
      </c>
    </row>
    <row r="8" spans="1:12" x14ac:dyDescent="0.35">
      <c r="A8" s="26">
        <v>4</v>
      </c>
      <c r="B8" s="22" t="s">
        <v>19</v>
      </c>
      <c r="C8" s="22" t="s">
        <v>20</v>
      </c>
      <c r="D8" s="22" t="str">
        <f>HLOOKUP(RIGHT(B8,1),'Tabel Bantu'!$B$9:$C$10,2,FALSE)</f>
        <v>Member</v>
      </c>
      <c r="E8" s="22" t="str">
        <f t="shared" si="4"/>
        <v>Gelas</v>
      </c>
      <c r="F8" s="22" t="str">
        <f>VLOOKUP(MID(B8,3,2),'Tabel Bantu'!$A$3:$E$7,2,FALSE)</f>
        <v>Extra</v>
      </c>
      <c r="G8" s="22">
        <f t="shared" si="0"/>
        <v>150</v>
      </c>
      <c r="H8" s="23">
        <f>VLOOKUP(MID(B8,3,2),'Tabel Bantu'!$A$3:$E$7,IF(E8="Piring",3,IF(E8="Mangkok",4,5)),FALSE)</f>
        <v>12000</v>
      </c>
      <c r="I8" s="23">
        <f t="shared" si="1"/>
        <v>1800000</v>
      </c>
      <c r="J8" s="23">
        <f t="shared" si="2"/>
        <v>270000</v>
      </c>
      <c r="K8" s="23">
        <f t="shared" si="3"/>
        <v>1530000</v>
      </c>
      <c r="L8" s="22" t="str">
        <f t="shared" si="5"/>
        <v>Souvenir</v>
      </c>
    </row>
    <row r="9" spans="1:12" x14ac:dyDescent="0.35">
      <c r="A9" s="26">
        <v>5</v>
      </c>
      <c r="B9" s="22" t="s">
        <v>21</v>
      </c>
      <c r="C9" s="22" t="s">
        <v>22</v>
      </c>
      <c r="D9" s="22" t="str">
        <f>HLOOKUP(RIGHT(B9,1),'Tabel Bantu'!$B$9:$C$10,2,FALSE)</f>
        <v>Member</v>
      </c>
      <c r="E9" s="22" t="str">
        <f t="shared" si="4"/>
        <v>Mangkok</v>
      </c>
      <c r="F9" s="22" t="str">
        <f>VLOOKUP(MID(B9,3,2),'Tabel Bantu'!$A$3:$E$7,2,FALSE)</f>
        <v>Extra</v>
      </c>
      <c r="G9" s="22">
        <f t="shared" si="0"/>
        <v>75</v>
      </c>
      <c r="H9" s="23">
        <f>VLOOKUP(MID(B9,3,2),'Tabel Bantu'!$A$3:$E$7,IF(E9="Piring",3,IF(E9="Mangkok",4,5)),FALSE)</f>
        <v>18500</v>
      </c>
      <c r="I9" s="23">
        <f t="shared" si="1"/>
        <v>1387500</v>
      </c>
      <c r="J9" s="23">
        <f t="shared" si="2"/>
        <v>138750</v>
      </c>
      <c r="K9" s="23">
        <f t="shared" si="3"/>
        <v>1248750</v>
      </c>
      <c r="L9" s="22" t="str">
        <f t="shared" si="5"/>
        <v>Tidak Dapat</v>
      </c>
    </row>
    <row r="10" spans="1:12" x14ac:dyDescent="0.35">
      <c r="A10" s="26">
        <v>6</v>
      </c>
      <c r="B10" s="22" t="s">
        <v>23</v>
      </c>
      <c r="C10" s="22" t="s">
        <v>24</v>
      </c>
      <c r="D10" s="22" t="str">
        <f>HLOOKUP(RIGHT(B10,1),'Tabel Bantu'!$B$9:$C$10,2,FALSE)</f>
        <v>Non Member</v>
      </c>
      <c r="E10" s="22" t="str">
        <f t="shared" si="4"/>
        <v>Piring</v>
      </c>
      <c r="F10" s="22" t="str">
        <f>VLOOKUP(MID(B10,3,2),'Tabel Bantu'!$A$3:$E$7,2,FALSE)</f>
        <v>Large</v>
      </c>
      <c r="G10" s="22">
        <f t="shared" si="0"/>
        <v>100</v>
      </c>
      <c r="H10" s="23">
        <f>VLOOKUP(MID(B10,3,2),'Tabel Bantu'!$A$3:$E$7,IF(E10="Piring",3,IF(E10="Mangkok",4,5)),FALSE)</f>
        <v>12000</v>
      </c>
      <c r="I10" s="23">
        <f t="shared" si="1"/>
        <v>1200000</v>
      </c>
      <c r="J10" s="23">
        <f t="shared" si="2"/>
        <v>120000</v>
      </c>
      <c r="K10" s="23">
        <f t="shared" si="3"/>
        <v>1080000</v>
      </c>
      <c r="L10" s="22" t="str">
        <f t="shared" si="5"/>
        <v>Tidak Dapat</v>
      </c>
    </row>
    <row r="11" spans="1:12" x14ac:dyDescent="0.35">
      <c r="A11" s="26">
        <v>7</v>
      </c>
      <c r="B11" s="22" t="s">
        <v>25</v>
      </c>
      <c r="C11" s="22" t="s">
        <v>26</v>
      </c>
      <c r="D11" s="22" t="str">
        <f>HLOOKUP(RIGHT(B11,1),'Tabel Bantu'!$B$9:$C$10,2,FALSE)</f>
        <v>Non Member</v>
      </c>
      <c r="E11" s="22" t="str">
        <f t="shared" si="4"/>
        <v>Mangkok</v>
      </c>
      <c r="F11" s="22" t="str">
        <f>VLOOKUP(MID(B11,3,2),'Tabel Bantu'!$A$3:$E$7,2,FALSE)</f>
        <v>Medium</v>
      </c>
      <c r="G11" s="22">
        <f t="shared" si="0"/>
        <v>95</v>
      </c>
      <c r="H11" s="23">
        <f>VLOOKUP(MID(B11,3,2),'Tabel Bantu'!$A$3:$E$7,IF(E11="Piring",3,IF(E11="Mangkok",4,5)),FALSE)</f>
        <v>14500</v>
      </c>
      <c r="I11" s="23">
        <f t="shared" si="1"/>
        <v>1377500</v>
      </c>
      <c r="J11" s="23">
        <f t="shared" si="2"/>
        <v>137750</v>
      </c>
      <c r="K11" s="23">
        <f t="shared" si="3"/>
        <v>1239750</v>
      </c>
      <c r="L11" s="22" t="str">
        <f t="shared" si="5"/>
        <v>Tidak Dapat</v>
      </c>
    </row>
    <row r="12" spans="1:12" x14ac:dyDescent="0.35">
      <c r="A12" s="26">
        <v>8</v>
      </c>
      <c r="B12" s="22" t="s">
        <v>27</v>
      </c>
      <c r="C12" s="22" t="s">
        <v>28</v>
      </c>
      <c r="D12" s="22" t="str">
        <f>HLOOKUP(RIGHT(B12,1),'Tabel Bantu'!$B$9:$C$10,2,FALSE)</f>
        <v>Non Member</v>
      </c>
      <c r="E12" s="22" t="str">
        <f t="shared" si="4"/>
        <v>Gelas</v>
      </c>
      <c r="F12" s="22" t="str">
        <f>VLOOKUP(MID(B12,3,2),'Tabel Bantu'!$A$3:$E$7,2,FALSE)</f>
        <v>Small</v>
      </c>
      <c r="G12" s="22">
        <f t="shared" si="0"/>
        <v>110</v>
      </c>
      <c r="H12" s="23">
        <f>VLOOKUP(MID(B12,3,2),'Tabel Bantu'!$A$3:$E$7,IF(E12="Piring",3,IF(E12="Mangkok",4,5)),FALSE)</f>
        <v>6000</v>
      </c>
      <c r="I12" s="23">
        <f t="shared" si="1"/>
        <v>660000</v>
      </c>
      <c r="J12" s="23">
        <f t="shared" si="2"/>
        <v>99000</v>
      </c>
      <c r="K12" s="23">
        <f t="shared" si="3"/>
        <v>561000</v>
      </c>
      <c r="L12" s="22" t="str">
        <f t="shared" si="5"/>
        <v>Tidak Dapat</v>
      </c>
    </row>
    <row r="13" spans="1:12" x14ac:dyDescent="0.35">
      <c r="A13" s="26">
        <v>9</v>
      </c>
      <c r="B13" s="22" t="s">
        <v>29</v>
      </c>
      <c r="C13" s="22" t="s">
        <v>30</v>
      </c>
      <c r="D13" s="22" t="str">
        <f>HLOOKUP(RIGHT(B13,1),'Tabel Bantu'!$B$9:$C$10,2,FALSE)</f>
        <v>Non Member</v>
      </c>
      <c r="E13" s="22" t="str">
        <f t="shared" si="4"/>
        <v>Piring</v>
      </c>
      <c r="F13" s="22" t="str">
        <f>VLOOKUP(MID(B13,3,2),'Tabel Bantu'!$A$3:$E$7,2,FALSE)</f>
        <v>Medium</v>
      </c>
      <c r="G13" s="22">
        <f t="shared" si="0"/>
        <v>83</v>
      </c>
      <c r="H13" s="23">
        <f>VLOOKUP(MID(B13,3,2),'Tabel Bantu'!$A$3:$E$7,IF(E13="Piring",3,IF(E13="Mangkok",4,5)),FALSE)</f>
        <v>10500</v>
      </c>
      <c r="I13" s="23">
        <f t="shared" si="1"/>
        <v>871500</v>
      </c>
      <c r="J13" s="23">
        <f t="shared" si="2"/>
        <v>87150</v>
      </c>
      <c r="K13" s="23">
        <f t="shared" si="3"/>
        <v>784350</v>
      </c>
      <c r="L13" s="22" t="str">
        <f t="shared" si="5"/>
        <v>Tidak Dapat</v>
      </c>
    </row>
    <row r="14" spans="1:12" x14ac:dyDescent="0.35">
      <c r="A14" s="26">
        <v>10</v>
      </c>
      <c r="B14" s="22" t="s">
        <v>31</v>
      </c>
      <c r="C14" s="22" t="s">
        <v>32</v>
      </c>
      <c r="D14" s="22" t="str">
        <f>HLOOKUP(RIGHT(B14,1),'Tabel Bantu'!$B$9:$C$10,2,FALSE)</f>
        <v>Non Member</v>
      </c>
      <c r="E14" s="22" t="str">
        <f t="shared" si="4"/>
        <v>Mangkok</v>
      </c>
      <c r="F14" s="22" t="str">
        <f>VLOOKUP(MID(B14,3,2),'Tabel Bantu'!$A$3:$E$7,2,FALSE)</f>
        <v>Large</v>
      </c>
      <c r="G14" s="22">
        <f t="shared" si="0"/>
        <v>107</v>
      </c>
      <c r="H14" s="23">
        <f>VLOOKUP(MID(B14,3,2),'Tabel Bantu'!$A$3:$E$7,IF(E14="Piring",3,IF(E14="Mangkok",4,5)),FALSE)</f>
        <v>16500</v>
      </c>
      <c r="I14" s="23">
        <f t="shared" si="1"/>
        <v>1765500</v>
      </c>
      <c r="J14" s="23">
        <f t="shared" si="2"/>
        <v>264825</v>
      </c>
      <c r="K14" s="23">
        <f t="shared" si="3"/>
        <v>1500675</v>
      </c>
      <c r="L14" s="22" t="str">
        <f t="shared" si="5"/>
        <v>Tidak Dapat</v>
      </c>
    </row>
    <row r="15" spans="1:12" x14ac:dyDescent="0.35">
      <c r="A15" s="26">
        <v>11</v>
      </c>
      <c r="B15" s="22" t="s">
        <v>33</v>
      </c>
      <c r="C15" s="22" t="s">
        <v>34</v>
      </c>
      <c r="D15" s="22" t="str">
        <f>HLOOKUP(RIGHT(B15,1),'Tabel Bantu'!$B$9:$C$10,2,FALSE)</f>
        <v>Member</v>
      </c>
      <c r="E15" s="22" t="str">
        <f t="shared" si="4"/>
        <v>Gelas</v>
      </c>
      <c r="F15" s="22" t="str">
        <f>VLOOKUP(MID(B15,3,2),'Tabel Bantu'!$A$3:$E$7,2,FALSE)</f>
        <v>Small</v>
      </c>
      <c r="G15" s="22">
        <f t="shared" si="0"/>
        <v>98</v>
      </c>
      <c r="H15" s="23">
        <f>VLOOKUP(MID(B15,3,2),'Tabel Bantu'!$A$3:$E$7,IF(E15="Piring",3,IF(E15="Mangkok",4,5)),FALSE)</f>
        <v>6000</v>
      </c>
      <c r="I15" s="23">
        <f t="shared" si="1"/>
        <v>588000</v>
      </c>
      <c r="J15" s="23">
        <f t="shared" si="2"/>
        <v>58800</v>
      </c>
      <c r="K15" s="23">
        <f t="shared" si="3"/>
        <v>529200</v>
      </c>
      <c r="L15" s="22" t="str">
        <f t="shared" si="5"/>
        <v>Souvenir</v>
      </c>
    </row>
    <row r="16" spans="1:12" x14ac:dyDescent="0.35">
      <c r="A16" s="26">
        <v>12</v>
      </c>
      <c r="B16" s="22" t="s">
        <v>35</v>
      </c>
      <c r="C16" s="22" t="s">
        <v>36</v>
      </c>
      <c r="D16" s="22" t="str">
        <f>HLOOKUP(RIGHT(B16,1),'Tabel Bantu'!$B$9:$C$10,2,FALSE)</f>
        <v>Non Member</v>
      </c>
      <c r="E16" s="22" t="str">
        <f t="shared" si="4"/>
        <v>Gelas</v>
      </c>
      <c r="F16" s="22" t="str">
        <f>VLOOKUP(MID(B16,3,2),'Tabel Bantu'!$A$3:$E$7,2,FALSE)</f>
        <v>Extra</v>
      </c>
      <c r="G16" s="22">
        <f t="shared" si="0"/>
        <v>121</v>
      </c>
      <c r="H16" s="23">
        <f>VLOOKUP(MID(B16,3,2),'Tabel Bantu'!$A$3:$E$7,IF(E16="Piring",3,IF(E16="Mangkok",4,5)),FALSE)</f>
        <v>12000</v>
      </c>
      <c r="I16" s="23">
        <f t="shared" si="1"/>
        <v>1452000</v>
      </c>
      <c r="J16" s="23">
        <f t="shared" si="2"/>
        <v>217800</v>
      </c>
      <c r="K16" s="23">
        <f t="shared" si="3"/>
        <v>1234200</v>
      </c>
      <c r="L16" s="22" t="str">
        <f t="shared" si="5"/>
        <v>Tidak Dapat</v>
      </c>
    </row>
    <row r="17" spans="1:11" x14ac:dyDescent="0.35">
      <c r="A17" s="24" t="s">
        <v>37</v>
      </c>
      <c r="B17" s="25"/>
      <c r="C17" s="25"/>
      <c r="D17" s="16">
        <f>COUNTA(B5:B16)</f>
        <v>12</v>
      </c>
      <c r="F17" s="17" t="s">
        <v>38</v>
      </c>
      <c r="G17" s="18"/>
      <c r="H17" s="18"/>
      <c r="I17" s="18"/>
      <c r="J17" s="19"/>
      <c r="K17" s="20">
        <f>SUM(K5:K16)</f>
        <v>12551025</v>
      </c>
    </row>
    <row r="18" spans="1:11" x14ac:dyDescent="0.35">
      <c r="A18" s="8" t="s">
        <v>39</v>
      </c>
      <c r="B18" s="9"/>
      <c r="C18" s="9"/>
      <c r="D18" s="4">
        <f>COUNTIF(D5:D16,"Member")</f>
        <v>5</v>
      </c>
      <c r="F18" s="12" t="s">
        <v>40</v>
      </c>
      <c r="G18" s="13"/>
      <c r="H18" s="13"/>
      <c r="I18" s="14"/>
      <c r="J18" s="10">
        <f>MAX(J5:J16)</f>
        <v>270000</v>
      </c>
    </row>
    <row r="19" spans="1:11" x14ac:dyDescent="0.35">
      <c r="A19" s="8" t="s">
        <v>41</v>
      </c>
      <c r="B19" s="9"/>
      <c r="C19" s="9"/>
      <c r="D19" s="4">
        <f>COUNTIF(D5:D16,"Non Member")</f>
        <v>7</v>
      </c>
      <c r="F19" s="12" t="s">
        <v>42</v>
      </c>
      <c r="G19" s="13"/>
      <c r="H19" s="13"/>
      <c r="I19" s="15">
        <f>MIN(I5:I16)</f>
        <v>588000</v>
      </c>
    </row>
    <row r="20" spans="1:11" x14ac:dyDescent="0.35">
      <c r="F20" s="11" t="s">
        <v>43</v>
      </c>
      <c r="G20" s="11"/>
      <c r="H20" s="5">
        <f>AVERAGE(H5:H16)</f>
        <v>11791.666666666666</v>
      </c>
    </row>
  </sheetData>
  <mergeCells count="8">
    <mergeCell ref="A19:C19"/>
    <mergeCell ref="A17:C17"/>
    <mergeCell ref="A18:C18"/>
    <mergeCell ref="F17:J17"/>
    <mergeCell ref="F18:I18"/>
    <mergeCell ref="F19:H19"/>
    <mergeCell ref="B2:E3"/>
    <mergeCell ref="B1:E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opLeftCell="A2" workbookViewId="0">
      <selection activeCell="A15" sqref="A15"/>
    </sheetView>
  </sheetViews>
  <sheetFormatPr defaultRowHeight="14.5" x14ac:dyDescent="0.35"/>
  <cols>
    <col min="1" max="1" width="61" customWidth="1"/>
    <col min="2" max="2" width="10" customWidth="1"/>
    <col min="3" max="5" width="18" customWidth="1"/>
    <col min="6" max="8" width="10" customWidth="1"/>
  </cols>
  <sheetData>
    <row r="1" spans="1:5" ht="18" x14ac:dyDescent="0.4">
      <c r="A1" s="1"/>
    </row>
    <row r="2" spans="1:5" x14ac:dyDescent="0.35">
      <c r="A2" s="28" t="s">
        <v>65</v>
      </c>
    </row>
    <row r="3" spans="1:5" x14ac:dyDescent="0.35">
      <c r="A3" s="29" t="s">
        <v>44</v>
      </c>
      <c r="B3" s="29" t="s">
        <v>45</v>
      </c>
      <c r="C3" s="29" t="s">
        <v>46</v>
      </c>
      <c r="D3" s="29" t="s">
        <v>47</v>
      </c>
      <c r="E3" s="29" t="s">
        <v>48</v>
      </c>
    </row>
    <row r="4" spans="1:5" x14ac:dyDescent="0.35">
      <c r="A4" s="2" t="s">
        <v>49</v>
      </c>
      <c r="B4" s="2" t="s">
        <v>50</v>
      </c>
      <c r="C4" s="3">
        <v>9000</v>
      </c>
      <c r="D4" s="3">
        <v>12500</v>
      </c>
      <c r="E4" s="3">
        <v>6000</v>
      </c>
    </row>
    <row r="5" spans="1:5" x14ac:dyDescent="0.35">
      <c r="A5" s="2" t="s">
        <v>51</v>
      </c>
      <c r="B5" s="2" t="s">
        <v>52</v>
      </c>
      <c r="C5" s="3">
        <v>10500</v>
      </c>
      <c r="D5" s="3">
        <v>14500</v>
      </c>
      <c r="E5" s="3">
        <v>8000</v>
      </c>
    </row>
    <row r="6" spans="1:5" x14ac:dyDescent="0.35">
      <c r="A6" s="2" t="s">
        <v>53</v>
      </c>
      <c r="B6" s="2" t="s">
        <v>54</v>
      </c>
      <c r="C6" s="3">
        <v>12000</v>
      </c>
      <c r="D6" s="3">
        <v>16500</v>
      </c>
      <c r="E6" s="3">
        <v>10000</v>
      </c>
    </row>
    <row r="7" spans="1:5" x14ac:dyDescent="0.35">
      <c r="A7" s="2" t="s">
        <v>55</v>
      </c>
      <c r="B7" s="2" t="s">
        <v>56</v>
      </c>
      <c r="C7" s="3">
        <v>14000</v>
      </c>
      <c r="D7" s="3">
        <v>18500</v>
      </c>
      <c r="E7" s="3">
        <v>12000</v>
      </c>
    </row>
    <row r="8" spans="1:5" x14ac:dyDescent="0.35">
      <c r="A8" s="28" t="s">
        <v>64</v>
      </c>
    </row>
    <row r="9" spans="1:5" x14ac:dyDescent="0.35">
      <c r="A9" s="30" t="s">
        <v>57</v>
      </c>
      <c r="B9" s="30" t="s">
        <v>58</v>
      </c>
      <c r="C9" s="30" t="s">
        <v>59</v>
      </c>
    </row>
    <row r="10" spans="1:5" x14ac:dyDescent="0.35">
      <c r="A10" s="2" t="s">
        <v>60</v>
      </c>
      <c r="B10" s="2" t="s">
        <v>61</v>
      </c>
      <c r="C10" s="2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Tugas Praktikum 3</vt:lpstr>
      <vt:lpstr>Tabel Bantu</vt:lpstr>
      <vt:lpstr>JK</vt:lpstr>
      <vt:lpstr>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 Xander</cp:lastModifiedBy>
  <dcterms:created xsi:type="dcterms:W3CDTF">2026-10-23T05:09:00Z</dcterms:created>
  <dcterms:modified xsi:type="dcterms:W3CDTF">2026-10-23T05:26:19Z</dcterms:modified>
</cp:coreProperties>
</file>